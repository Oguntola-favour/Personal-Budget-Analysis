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2A6E1F63-E7D6-419F-BEF7-18B76CE8CAF4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Sheet1" sheetId="1" r:id="rId1"/>
    <sheet name="Sheet2" sheetId="2" r:id="rId2"/>
    <sheet name="Budget project" sheetId="3" r:id="rId3"/>
    <sheet name="Dashboard" sheetId="4" r:id="rId4"/>
  </sheets>
  <externalReferences>
    <externalReference r:id="rId5"/>
  </externalReferences>
  <definedNames>
    <definedName name="taxesowed">Sheet1!$F$2:$F$11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3" l="1"/>
  <c r="B7" i="4"/>
  <c r="S12" i="3"/>
  <c r="B6" i="4"/>
  <c r="S15" i="3"/>
  <c r="S13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S19" i="3"/>
  <c r="B14" i="3"/>
  <c r="B11" i="3"/>
  <c r="T5" i="3"/>
  <c r="T4" i="3"/>
  <c r="N7" i="3"/>
  <c r="K7" i="3"/>
  <c r="G7" i="3"/>
  <c r="G16" i="3"/>
  <c r="H16" i="3"/>
  <c r="I16" i="3"/>
  <c r="J16" i="3"/>
  <c r="K16" i="3"/>
  <c r="L16" i="3"/>
  <c r="M16" i="3"/>
  <c r="N16" i="3"/>
  <c r="G14" i="3"/>
  <c r="H14" i="3"/>
  <c r="I14" i="3"/>
  <c r="J14" i="3"/>
  <c r="K14" i="3"/>
  <c r="L14" i="3"/>
  <c r="M14" i="3"/>
  <c r="N14" i="3"/>
  <c r="G10" i="3"/>
  <c r="H10" i="3"/>
  <c r="I10" i="3"/>
  <c r="J10" i="3"/>
  <c r="K10" i="3"/>
  <c r="L10" i="3"/>
  <c r="M10" i="3"/>
  <c r="N10" i="3"/>
  <c r="N6" i="3"/>
  <c r="K6" i="3"/>
  <c r="H6" i="3"/>
  <c r="N13" i="3"/>
  <c r="K13" i="3"/>
  <c r="H13" i="3"/>
  <c r="N18" i="3"/>
  <c r="L18" i="3"/>
  <c r="J18" i="3"/>
  <c r="H18" i="3"/>
  <c r="H12" i="3"/>
  <c r="I12" i="3"/>
  <c r="J12" i="3"/>
  <c r="K12" i="3"/>
  <c r="L12" i="3"/>
  <c r="M12" i="3"/>
  <c r="N12" i="3"/>
  <c r="G12" i="3"/>
  <c r="I17" i="3"/>
  <c r="J17" i="3"/>
  <c r="K17" i="3"/>
  <c r="L17" i="3"/>
  <c r="M17" i="3"/>
  <c r="N17" i="3"/>
  <c r="H17" i="3"/>
  <c r="G17" i="3"/>
  <c r="I11" i="3"/>
  <c r="J11" i="3"/>
  <c r="K11" i="3"/>
  <c r="L11" i="3"/>
  <c r="M11" i="3"/>
  <c r="N11" i="3"/>
  <c r="H11" i="3"/>
  <c r="G11" i="3"/>
  <c r="H5" i="3"/>
  <c r="I5" i="3"/>
  <c r="J5" i="3"/>
  <c r="K5" i="3"/>
  <c r="L5" i="3"/>
  <c r="M5" i="3"/>
  <c r="N5" i="3"/>
  <c r="G5" i="3"/>
  <c r="H15" i="3"/>
  <c r="I15" i="3"/>
  <c r="J15" i="3"/>
  <c r="K15" i="3"/>
  <c r="L15" i="3"/>
  <c r="M15" i="3"/>
  <c r="N15" i="3"/>
  <c r="G15" i="3"/>
  <c r="H4" i="3"/>
  <c r="I4" i="3"/>
  <c r="J4" i="3"/>
  <c r="K4" i="3"/>
  <c r="L4" i="3"/>
  <c r="M4" i="3"/>
  <c r="N4" i="3"/>
  <c r="G4" i="3"/>
  <c r="L8" i="3"/>
  <c r="K8" i="3"/>
  <c r="J8" i="3"/>
  <c r="H8" i="3"/>
  <c r="F16" i="3"/>
  <c r="F14" i="3"/>
  <c r="F10" i="3"/>
  <c r="F12" i="3"/>
  <c r="F11" i="3"/>
  <c r="F5" i="3"/>
  <c r="F15" i="3"/>
  <c r="F4" i="3"/>
  <c r="F17" i="3"/>
  <c r="E16" i="3"/>
  <c r="F9" i="3"/>
  <c r="E12" i="3"/>
  <c r="E14" i="3"/>
  <c r="E10" i="3"/>
  <c r="E13" i="3"/>
  <c r="E17" i="3"/>
  <c r="E18" i="3"/>
  <c r="E11" i="3"/>
  <c r="E5" i="3"/>
  <c r="E15" i="3"/>
  <c r="E4" i="3"/>
  <c r="D7" i="3"/>
  <c r="D14" i="3"/>
  <c r="D10" i="3"/>
  <c r="D6" i="3"/>
  <c r="D18" i="3"/>
  <c r="D12" i="3"/>
  <c r="D17" i="3"/>
  <c r="D11" i="3"/>
  <c r="D5" i="3"/>
  <c r="D15" i="3"/>
  <c r="D4" i="3"/>
  <c r="C8" i="3"/>
  <c r="C12" i="3"/>
  <c r="C7" i="3"/>
  <c r="C14" i="3"/>
  <c r="C10" i="3"/>
  <c r="C4" i="3"/>
  <c r="N8" i="3"/>
  <c r="M8" i="3"/>
  <c r="I8" i="3"/>
  <c r="F8" i="3"/>
  <c r="E8" i="3"/>
  <c r="D8" i="3"/>
  <c r="C17" i="3"/>
  <c r="C11" i="3"/>
  <c r="C5" i="3"/>
  <c r="C15" i="3"/>
  <c r="S4" i="3"/>
  <c r="S5" i="3"/>
  <c r="B10" i="3"/>
  <c r="B6" i="3"/>
  <c r="B13" i="3"/>
  <c r="B12" i="3"/>
  <c r="B17" i="3"/>
  <c r="B5" i="3"/>
  <c r="B15" i="3"/>
  <c r="B4" i="3"/>
  <c r="B8" i="3"/>
  <c r="E16" i="1"/>
  <c r="F16" i="1"/>
  <c r="D16" i="1"/>
  <c r="E15" i="1"/>
  <c r="F15" i="1"/>
  <c r="D15" i="1"/>
  <c r="E14" i="1"/>
  <c r="F14" i="1"/>
  <c r="D14" i="1"/>
  <c r="F13" i="1"/>
  <c r="F12" i="1"/>
  <c r="D13" i="1"/>
  <c r="D12" i="1"/>
  <c r="F3" i="1"/>
  <c r="F4" i="1"/>
  <c r="F5" i="1"/>
  <c r="F6" i="1"/>
  <c r="F7" i="1"/>
  <c r="F8" i="1"/>
  <c r="F9" i="1"/>
  <c r="F10" i="1"/>
  <c r="F11" i="1"/>
  <c r="E10" i="1"/>
  <c r="E6" i="1"/>
  <c r="E5" i="1"/>
  <c r="E7" i="1"/>
  <c r="E8" i="1"/>
  <c r="E9" i="1"/>
  <c r="E11" i="1"/>
  <c r="E4" i="1"/>
  <c r="E3" i="1"/>
  <c r="E2" i="1"/>
  <c r="B3" i="4" l="1"/>
  <c r="B2" i="4"/>
  <c r="T7" i="3"/>
  <c r="S7" i="3"/>
  <c r="F2" i="1"/>
  <c r="E13" i="1"/>
  <c r="E12" i="1"/>
</calcChain>
</file>

<file path=xl/sharedStrings.xml><?xml version="1.0" encoding="utf-8"?>
<sst xmlns="http://schemas.openxmlformats.org/spreadsheetml/2006/main" count="81" uniqueCount="78">
  <si>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</si>
  <si>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</si>
  <si>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</si>
  <si>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</si>
  <si>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</si>
  <si>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</si>
  <si>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</si>
  <si>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</si>
  <si>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</si>
  <si>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</si>
  <si>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</si>
  <si>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</si>
  <si>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 xml:space="preserve"> </t>
  </si>
  <si>
    <t>Jefferson</t>
  </si>
  <si>
    <t>Clifford</t>
  </si>
  <si>
    <t>Janay</t>
  </si>
  <si>
    <t>Tanisha</t>
  </si>
  <si>
    <t>Tre</t>
  </si>
  <si>
    <t>Total:</t>
  </si>
  <si>
    <t>Average:</t>
  </si>
  <si>
    <t>Highest:</t>
  </si>
  <si>
    <t>Lowest:</t>
  </si>
  <si>
    <t>Number of Employees:</t>
  </si>
  <si>
    <t>Favour</t>
  </si>
  <si>
    <t>Oguntola</t>
  </si>
  <si>
    <t>Joy</t>
  </si>
  <si>
    <t>Queen</t>
  </si>
  <si>
    <t>REAL BUDGET</t>
  </si>
  <si>
    <t>MONTHLY EXPENSES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</si>
  <si>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</si>
  <si>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</si>
  <si>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</si>
  <si>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</si>
  <si>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</si>
  <si>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</si>
  <si>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</si>
  <si>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</si>
  <si>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</si>
  <si>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</si>
  <si>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</si>
  <si>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</si>
  <si>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NON MONTHLY EXPENSES</t>
  </si>
  <si>
    <t>PER YEAR</t>
  </si>
  <si>
    <t>PER MONTH</t>
  </si>
  <si>
    <t>Transportation</t>
  </si>
  <si>
    <t>Hair</t>
  </si>
  <si>
    <t>Streaming</t>
  </si>
  <si>
    <t>Rail card</t>
  </si>
  <si>
    <t>Skincare</t>
  </si>
  <si>
    <t>Restaurants</t>
  </si>
  <si>
    <t>TOTAL</t>
  </si>
  <si>
    <t>Rent</t>
  </si>
  <si>
    <t>Photoshoot</t>
  </si>
  <si>
    <t>Phone bill</t>
  </si>
  <si>
    <t>Online purchases</t>
  </si>
  <si>
    <t>Miscellaneous</t>
  </si>
  <si>
    <t>TOTAL INCOME</t>
  </si>
  <si>
    <t>Lashes</t>
  </si>
  <si>
    <t>TOTAL EXPENSES</t>
  </si>
  <si>
    <t>Grocery</t>
  </si>
  <si>
    <t>Food</t>
  </si>
  <si>
    <t>LEFT OVER</t>
  </si>
  <si>
    <t>CIPD payment</t>
  </si>
  <si>
    <t>Black Tax</t>
  </si>
  <si>
    <t>PAY YOURSELF</t>
  </si>
  <si>
    <t>Beauty</t>
  </si>
  <si>
    <t>FUN MONEY</t>
  </si>
  <si>
    <t>Metric</t>
  </si>
  <si>
    <t>Value</t>
  </si>
  <si>
    <t>Total annual spend</t>
  </si>
  <si>
    <t>Average monthly spend</t>
  </si>
  <si>
    <t>Highest spending month</t>
  </si>
  <si>
    <t xml:space="preserve">February-  £  2,625.19 </t>
  </si>
  <si>
    <t>Lowest spending month</t>
  </si>
  <si>
    <t xml:space="preserve">October-  £  1,440.00 </t>
  </si>
  <si>
    <t>Total annual income</t>
  </si>
  <si>
    <t>Annual savings (pay yourself)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</si>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</sst>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6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164" fontId="0" fillId="0" borderId="0" xfId="0" applyNumberFormat="1"/>
    <xf numFmtId="164" fontId="3" fillId="0" borderId="0" xfId="0" applyNumberFormat="1" applyFont="1"/>
    <xf numFmtId="0" fontId="3" fillId="0" borderId="0" xfId="0" applyFont="1" applyAlignment="1"/>
    <xf numFmtId="0" fontId="0" fillId="0" borderId="0" xfId="0" applyAlignment="1"/>
    <xf numFmtId="164" fontId="0" fillId="0" borderId="0" xfId="0" applyNumberFormat="1" applyAlignment="1"/>
    <xf numFmtId="164" fontId="3" fillId="0" borderId="0" xfId="0" applyNumberFormat="1" applyFont="1" applyAlignment="1"/>
    <xf numFmtId="164" fontId="1" fillId="0" borderId="0" xfId="0" applyNumberFormat="1" applyFont="1"/>
    <xf numFmtId="164" fontId="0" fillId="0" borderId="0" xfId="0" applyNumberForma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Monthly Budget</a:t>
            </a:r>
          </a:p>
        </c:rich>
      </c:tx>
      <c:layout>
        <c:manualLayout>
          <c:xMode val="edge"/>
          <c:yMode val="edge"/>
          <c:x val="0.38814336223788681"/>
          <c:y val="1.9383266633827782E-2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project'!$B$3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project'!$B$4:$B$18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150</c:v>
                </c:pt>
                <c:pt idx="12">
                  <c:v>138</c:v>
                </c:pt>
                <c:pt idx="13">
                  <c:v>60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7-442D-87EC-158085588A09}"/>
            </c:ext>
          </c:extLst>
        </c:ser>
        <c:ser>
          <c:idx val="1"/>
          <c:order val="1"/>
          <c:tx>
            <c:strRef>
              <c:f>'Budget project'!$C$3</c:f>
              <c:strCache>
                <c:ptCount val="1"/>
                <c:pt idx="0">
                  <c:v>JANUARY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project'!$C$4:$C$18</c:f>
              <c:numCache>
                <c:formatCode>_-[$£-809]* #,##0.00_-;\-[$£-809]* #,##0.00_-;_-[$£-809]* "-"??_-;_-@_-</c:formatCode>
                <c:ptCount val="15"/>
                <c:pt idx="0">
                  <c:v>200</c:v>
                </c:pt>
                <c:pt idx="1">
                  <c:v>10</c:v>
                </c:pt>
                <c:pt idx="2">
                  <c:v>30</c:v>
                </c:pt>
                <c:pt idx="3">
                  <c:v>78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100</c:v>
                </c:pt>
                <c:pt idx="8">
                  <c:v>8.99</c:v>
                </c:pt>
                <c:pt idx="9">
                  <c:v>30</c:v>
                </c:pt>
                <c:pt idx="10">
                  <c:v>116</c:v>
                </c:pt>
                <c:pt idx="11">
                  <c:v>173</c:v>
                </c:pt>
                <c:pt idx="12">
                  <c:v>50</c:v>
                </c:pt>
                <c:pt idx="13">
                  <c:v>230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7-442D-87EC-158085588A09}"/>
            </c:ext>
          </c:extLst>
        </c:ser>
        <c:ser>
          <c:idx val="2"/>
          <c:order val="2"/>
          <c:tx>
            <c:strRef>
              <c:f>'Budget project'!$D$3</c:f>
              <c:strCache>
                <c:ptCount val="1"/>
                <c:pt idx="0">
                  <c:v>FEBRUARY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project'!$D$4:$D$18</c:f>
              <c:numCache>
                <c:formatCode>_-[$£-809]* #,##0.00_-;\-[$£-809]* #,##0.00_-;_-[$£-809]* "-"??_-;_-@_-</c:formatCode>
                <c:ptCount val="15"/>
                <c:pt idx="0">
                  <c:v>400</c:v>
                </c:pt>
                <c:pt idx="1">
                  <c:v>10</c:v>
                </c:pt>
                <c:pt idx="2">
                  <c:v>30</c:v>
                </c:pt>
                <c:pt idx="3">
                  <c:v>73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955</c:v>
                </c:pt>
                <c:pt idx="8">
                  <c:v>2.19</c:v>
                </c:pt>
                <c:pt idx="9">
                  <c:v>30</c:v>
                </c:pt>
                <c:pt idx="10">
                  <c:v>150</c:v>
                </c:pt>
                <c:pt idx="11">
                  <c:v>100</c:v>
                </c:pt>
                <c:pt idx="12">
                  <c:v>30</c:v>
                </c:pt>
                <c:pt idx="13">
                  <c:v>135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47-442D-87EC-158085588A09}"/>
            </c:ext>
          </c:extLst>
        </c:ser>
        <c:ser>
          <c:idx val="3"/>
          <c:order val="3"/>
          <c:tx>
            <c:strRef>
              <c:f>'Budget project'!$E$3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project'!$E$4:$E$18</c:f>
              <c:numCache>
                <c:formatCode>_-[$£-809]* #,##0.00_-;\-[$£-809]* #,##0.00_-;_-[$£-809]* "-"??_-;_-@_-</c:formatCode>
                <c:ptCount val="15"/>
                <c:pt idx="0">
                  <c:v>321</c:v>
                </c:pt>
                <c:pt idx="1">
                  <c:v>15</c:v>
                </c:pt>
                <c:pt idx="2">
                  <c:v>20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110</c:v>
                </c:pt>
                <c:pt idx="8">
                  <c:v>26</c:v>
                </c:pt>
                <c:pt idx="9">
                  <c:v>55</c:v>
                </c:pt>
                <c:pt idx="10">
                  <c:v>65</c:v>
                </c:pt>
                <c:pt idx="11">
                  <c:v>65</c:v>
                </c:pt>
                <c:pt idx="12">
                  <c:v>50</c:v>
                </c:pt>
                <c:pt idx="13">
                  <c:v>50</c:v>
                </c:pt>
                <c:pt idx="1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47-442D-87EC-158085588A09}"/>
            </c:ext>
          </c:extLst>
        </c:ser>
        <c:ser>
          <c:idx val="4"/>
          <c:order val="4"/>
          <c:tx>
            <c:strRef>
              <c:f>'Budget project'!$F$3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project'!$F$4:$F$18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40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100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50</c:v>
                </c:pt>
                <c:pt idx="12">
                  <c:v>70</c:v>
                </c:pt>
                <c:pt idx="13">
                  <c:v>85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47-442D-87EC-158085588A09}"/>
            </c:ext>
          </c:extLst>
        </c:ser>
        <c:ser>
          <c:idx val="5"/>
          <c:order val="5"/>
          <c:tx>
            <c:strRef>
              <c:f>'Budget project'!$G$3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project'!$G$4:$G$18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180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47-442D-87EC-158085588A09}"/>
            </c:ext>
          </c:extLst>
        </c:ser>
        <c:ser>
          <c:idx val="6"/>
          <c:order val="6"/>
          <c:tx>
            <c:strRef>
              <c:f>'Budget project'!$H$3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project'!$H$4:$H$18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47-442D-87EC-158085588A09}"/>
            </c:ext>
          </c:extLst>
        </c:ser>
        <c:ser>
          <c:idx val="7"/>
          <c:order val="7"/>
          <c:tx>
            <c:strRef>
              <c:f>'Budget project'!$I$3</c:f>
              <c:strCache>
                <c:ptCount val="1"/>
                <c:pt idx="0">
                  <c:v>JULY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project'!$I$4:$I$18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147-442D-87EC-158085588A09}"/>
            </c:ext>
          </c:extLst>
        </c:ser>
        <c:ser>
          <c:idx val="8"/>
          <c:order val="8"/>
          <c:tx>
            <c:strRef>
              <c:f>'Budget project'!$J$3</c:f>
              <c:strCache>
                <c:ptCount val="1"/>
                <c:pt idx="0">
                  <c:v>AUGUST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project'!$J$4:$J$18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147-442D-87EC-158085588A09}"/>
            </c:ext>
          </c:extLst>
        </c:ser>
        <c:ser>
          <c:idx val="9"/>
          <c:order val="9"/>
          <c:tx>
            <c:strRef>
              <c:f>'Budget project'!$K$3</c:f>
              <c:strCache>
                <c:ptCount val="1"/>
                <c:pt idx="0">
                  <c:v>SEPTEMBER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project'!$K$4:$K$18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147-442D-87EC-158085588A09}"/>
            </c:ext>
          </c:extLst>
        </c:ser>
        <c:ser>
          <c:idx val="10"/>
          <c:order val="10"/>
          <c:tx>
            <c:strRef>
              <c:f>'Budget project'!$L$3</c:f>
              <c:strCache>
                <c:ptCount val="1"/>
                <c:pt idx="0">
                  <c:v>OCTOBER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project'!$L$4:$L$18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15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147-442D-87EC-158085588A09}"/>
            </c:ext>
          </c:extLst>
        </c:ser>
        <c:ser>
          <c:idx val="11"/>
          <c:order val="11"/>
          <c:tx>
            <c:strRef>
              <c:f>'Budget project'!$M$3</c:f>
              <c:strCache>
                <c:ptCount val="1"/>
                <c:pt idx="0">
                  <c:v>NOVEMBER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project'!$M$4:$M$18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147-442D-87EC-158085588A09}"/>
            </c:ext>
          </c:extLst>
        </c:ser>
        <c:ser>
          <c:idx val="12"/>
          <c:order val="12"/>
          <c:tx>
            <c:strRef>
              <c:f>'Budget project'!$N$3</c:f>
              <c:strCache>
                <c:ptCount val="1"/>
                <c:pt idx="0">
                  <c:v>DECEMBER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project'!$N$4:$N$18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147-442D-87EC-158085588A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Monthly Budget</a:t>
            </a:r>
          </a:p>
        </c:rich>
      </c:tx>
      <c:layout>
        <c:manualLayout>
          <c:xMode val="edge"/>
          <c:yMode val="edge"/>
          <c:x val="0.44492905666951382"/>
          <c:y val="2.6621265111269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project'!$B$3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project'!$B$4:$B$20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150</c:v>
                </c:pt>
                <c:pt idx="12">
                  <c:v>138</c:v>
                </c:pt>
                <c:pt idx="13">
                  <c:v>60</c:v>
                </c:pt>
                <c:pt idx="14">
                  <c:v>100</c:v>
                </c:pt>
                <c:pt idx="16">
                  <c:v>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7-4D1F-AA4A-BD0D90C999A7}"/>
            </c:ext>
          </c:extLst>
        </c:ser>
        <c:ser>
          <c:idx val="1"/>
          <c:order val="1"/>
          <c:tx>
            <c:v>JANUARY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project'!$C$4:$C$20</c:f>
              <c:numCache>
                <c:formatCode>_-[$£-809]* #,##0.00_-;\-[$£-809]* #,##0.00_-;_-[$£-809]* "-"??_-;_-@_-</c:formatCode>
                <c:ptCount val="17"/>
                <c:pt idx="0">
                  <c:v>200</c:v>
                </c:pt>
                <c:pt idx="1">
                  <c:v>10</c:v>
                </c:pt>
                <c:pt idx="2">
                  <c:v>30</c:v>
                </c:pt>
                <c:pt idx="3">
                  <c:v>78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100</c:v>
                </c:pt>
                <c:pt idx="8">
                  <c:v>8.99</c:v>
                </c:pt>
                <c:pt idx="9">
                  <c:v>30</c:v>
                </c:pt>
                <c:pt idx="10">
                  <c:v>116</c:v>
                </c:pt>
                <c:pt idx="11">
                  <c:v>173</c:v>
                </c:pt>
                <c:pt idx="12">
                  <c:v>50</c:v>
                </c:pt>
                <c:pt idx="13">
                  <c:v>230</c:v>
                </c:pt>
                <c:pt idx="14">
                  <c:v>50</c:v>
                </c:pt>
                <c:pt idx="16">
                  <c:v>1685.99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7-4D1F-AA4A-BD0D90C999A7}"/>
            </c:ext>
          </c:extLst>
        </c:ser>
        <c:ser>
          <c:idx val="2"/>
          <c:order val="2"/>
          <c:tx>
            <c:strRef>
              <c:f>'Budget project'!$D$3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project'!$D$4:$D$20</c:f>
              <c:numCache>
                <c:formatCode>_-[$£-809]* #,##0.00_-;\-[$£-809]* #,##0.00_-;_-[$£-809]* "-"??_-;_-@_-</c:formatCode>
                <c:ptCount val="17"/>
                <c:pt idx="0">
                  <c:v>400</c:v>
                </c:pt>
                <c:pt idx="1">
                  <c:v>10</c:v>
                </c:pt>
                <c:pt idx="2">
                  <c:v>30</c:v>
                </c:pt>
                <c:pt idx="3">
                  <c:v>73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955</c:v>
                </c:pt>
                <c:pt idx="8">
                  <c:v>2.19</c:v>
                </c:pt>
                <c:pt idx="9">
                  <c:v>30</c:v>
                </c:pt>
                <c:pt idx="10">
                  <c:v>150</c:v>
                </c:pt>
                <c:pt idx="11">
                  <c:v>100</c:v>
                </c:pt>
                <c:pt idx="12">
                  <c:v>30</c:v>
                </c:pt>
                <c:pt idx="13">
                  <c:v>135</c:v>
                </c:pt>
                <c:pt idx="14">
                  <c:v>100</c:v>
                </c:pt>
                <c:pt idx="16">
                  <c:v>2625.19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87-4D1F-AA4A-BD0D90C999A7}"/>
            </c:ext>
          </c:extLst>
        </c:ser>
        <c:ser>
          <c:idx val="3"/>
          <c:order val="3"/>
          <c:tx>
            <c:strRef>
              <c:f>'Budget project'!$E$3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project'!$E$4:$E$20</c:f>
              <c:numCache>
                <c:formatCode>_-[$£-809]* #,##0.00_-;\-[$£-809]* #,##0.00_-;_-[$£-809]* "-"??_-;_-@_-</c:formatCode>
                <c:ptCount val="17"/>
                <c:pt idx="0">
                  <c:v>321</c:v>
                </c:pt>
                <c:pt idx="1">
                  <c:v>15</c:v>
                </c:pt>
                <c:pt idx="2">
                  <c:v>20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110</c:v>
                </c:pt>
                <c:pt idx="8">
                  <c:v>26</c:v>
                </c:pt>
                <c:pt idx="9">
                  <c:v>55</c:v>
                </c:pt>
                <c:pt idx="10">
                  <c:v>65</c:v>
                </c:pt>
                <c:pt idx="11">
                  <c:v>65</c:v>
                </c:pt>
                <c:pt idx="12">
                  <c:v>50</c:v>
                </c:pt>
                <c:pt idx="13">
                  <c:v>50</c:v>
                </c:pt>
                <c:pt idx="14">
                  <c:v>40</c:v>
                </c:pt>
                <c:pt idx="16">
                  <c:v>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87-4D1F-AA4A-BD0D90C999A7}"/>
            </c:ext>
          </c:extLst>
        </c:ser>
        <c:ser>
          <c:idx val="4"/>
          <c:order val="4"/>
          <c:tx>
            <c:strRef>
              <c:f>'Budget project'!$F$3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project'!$F$4:$F$20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40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100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50</c:v>
                </c:pt>
                <c:pt idx="12">
                  <c:v>70</c:v>
                </c:pt>
                <c:pt idx="13">
                  <c:v>85</c:v>
                </c:pt>
                <c:pt idx="14">
                  <c:v>50</c:v>
                </c:pt>
                <c:pt idx="16">
                  <c:v>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87-4D1F-AA4A-BD0D90C999A7}"/>
            </c:ext>
          </c:extLst>
        </c:ser>
        <c:ser>
          <c:idx val="5"/>
          <c:order val="5"/>
          <c:tx>
            <c:strRef>
              <c:f>'Budget project'!$G$3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project'!$G$4:$G$20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180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87-4D1F-AA4A-BD0D90C999A7}"/>
            </c:ext>
          </c:extLst>
        </c:ser>
        <c:ser>
          <c:idx val="6"/>
          <c:order val="6"/>
          <c:tx>
            <c:strRef>
              <c:f>'Budget project'!$H$3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project'!$H$4:$H$20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87-4D1F-AA4A-BD0D90C999A7}"/>
            </c:ext>
          </c:extLst>
        </c:ser>
        <c:ser>
          <c:idx val="7"/>
          <c:order val="7"/>
          <c:tx>
            <c:strRef>
              <c:f>'Budget project'!$I$3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project'!$I$4:$I$20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87-4D1F-AA4A-BD0D90C999A7}"/>
            </c:ext>
          </c:extLst>
        </c:ser>
        <c:ser>
          <c:idx val="8"/>
          <c:order val="8"/>
          <c:tx>
            <c:strRef>
              <c:f>'Budget project'!$J$3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project'!$J$4:$J$20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87-4D1F-AA4A-BD0D90C999A7}"/>
            </c:ext>
          </c:extLst>
        </c:ser>
        <c:ser>
          <c:idx val="9"/>
          <c:order val="9"/>
          <c:tx>
            <c:strRef>
              <c:f>'Budget project'!$K$3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project'!$K$4:$K$20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87-4D1F-AA4A-BD0D90C999A7}"/>
            </c:ext>
          </c:extLst>
        </c:ser>
        <c:ser>
          <c:idx val="10"/>
          <c:order val="10"/>
          <c:tx>
            <c:strRef>
              <c:f>'Budget project'!$L$3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project'!$L$4:$L$20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15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87-4D1F-AA4A-BD0D90C999A7}"/>
            </c:ext>
          </c:extLst>
        </c:ser>
        <c:ser>
          <c:idx val="11"/>
          <c:order val="11"/>
          <c:tx>
            <c:strRef>
              <c:f>'Budget project'!$M$3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project'!$M$4:$M$20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387-4D1F-AA4A-BD0D90C999A7}"/>
            </c:ext>
          </c:extLst>
        </c:ser>
        <c:ser>
          <c:idx val="12"/>
          <c:order val="12"/>
          <c:tx>
            <c:strRef>
              <c:f>'Budget project'!$N$3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project'!$N$4:$N$20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87-4D1F-AA4A-BD0D90C99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943368"/>
        <c:axId val="1952519176"/>
      </c:barChart>
      <c:catAx>
        <c:axId val="172494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19176"/>
        <c:crosses val="autoZero"/>
        <c:auto val="1"/>
        <c:lblAlgn val="ctr"/>
        <c:lblOffset val="100"/>
        <c:noMultiLvlLbl val="0"/>
      </c:catAx>
      <c:valAx>
        <c:axId val="195251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4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73373904397844"/>
          <c:y val="0.87640129385374277"/>
          <c:w val="0.69598772956727695"/>
          <c:h val="0.105651879510147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Monthly Budget</a:t>
            </a:r>
          </a:p>
        </c:rich>
      </c:tx>
      <c:layout>
        <c:manualLayout>
          <c:xMode val="edge"/>
          <c:yMode val="edge"/>
          <c:x val="0.38814336223788681"/>
          <c:y val="1.9383266633827782E-2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project'!$B$3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project'!$B$4:$B$18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150</c:v>
                </c:pt>
                <c:pt idx="12">
                  <c:v>138</c:v>
                </c:pt>
                <c:pt idx="13">
                  <c:v>60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30A-43F6-B9C8-34C314DD246D}"/>
            </c:ext>
          </c:extLst>
        </c:ser>
        <c:ser>
          <c:idx val="1"/>
          <c:order val="1"/>
          <c:tx>
            <c:strRef>
              <c:f>'Budget project'!$C$3</c:f>
              <c:strCache>
                <c:ptCount val="1"/>
                <c:pt idx="0">
                  <c:v>JANUARY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project'!$C$4:$C$18</c:f>
              <c:numCache>
                <c:formatCode>_-[$£-809]* #,##0.00_-;\-[$£-809]* #,##0.00_-;_-[$£-809]* "-"??_-;_-@_-</c:formatCode>
                <c:ptCount val="15"/>
                <c:pt idx="0">
                  <c:v>200</c:v>
                </c:pt>
                <c:pt idx="1">
                  <c:v>10</c:v>
                </c:pt>
                <c:pt idx="2">
                  <c:v>30</c:v>
                </c:pt>
                <c:pt idx="3">
                  <c:v>78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100</c:v>
                </c:pt>
                <c:pt idx="8">
                  <c:v>8.99</c:v>
                </c:pt>
                <c:pt idx="9">
                  <c:v>30</c:v>
                </c:pt>
                <c:pt idx="10">
                  <c:v>116</c:v>
                </c:pt>
                <c:pt idx="11">
                  <c:v>173</c:v>
                </c:pt>
                <c:pt idx="12">
                  <c:v>50</c:v>
                </c:pt>
                <c:pt idx="13">
                  <c:v>230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230A-43F6-B9C8-34C314DD246D}"/>
            </c:ext>
          </c:extLst>
        </c:ser>
        <c:ser>
          <c:idx val="2"/>
          <c:order val="2"/>
          <c:tx>
            <c:strRef>
              <c:f>'Budget project'!$D$3</c:f>
              <c:strCache>
                <c:ptCount val="1"/>
                <c:pt idx="0">
                  <c:v>FEBRUARY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project'!$D$4:$D$18</c:f>
              <c:numCache>
                <c:formatCode>_-[$£-809]* #,##0.00_-;\-[$£-809]* #,##0.00_-;_-[$£-809]* "-"??_-;_-@_-</c:formatCode>
                <c:ptCount val="15"/>
                <c:pt idx="0">
                  <c:v>400</c:v>
                </c:pt>
                <c:pt idx="1">
                  <c:v>10</c:v>
                </c:pt>
                <c:pt idx="2">
                  <c:v>30</c:v>
                </c:pt>
                <c:pt idx="3">
                  <c:v>73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955</c:v>
                </c:pt>
                <c:pt idx="8">
                  <c:v>2.19</c:v>
                </c:pt>
                <c:pt idx="9">
                  <c:v>30</c:v>
                </c:pt>
                <c:pt idx="10">
                  <c:v>150</c:v>
                </c:pt>
                <c:pt idx="11">
                  <c:v>100</c:v>
                </c:pt>
                <c:pt idx="12">
                  <c:v>30</c:v>
                </c:pt>
                <c:pt idx="13">
                  <c:v>135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230A-43F6-B9C8-34C314DD246D}"/>
            </c:ext>
          </c:extLst>
        </c:ser>
        <c:ser>
          <c:idx val="3"/>
          <c:order val="3"/>
          <c:tx>
            <c:strRef>
              <c:f>'Budget project'!$E$3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project'!$E$4:$E$18</c:f>
              <c:numCache>
                <c:formatCode>_-[$£-809]* #,##0.00_-;\-[$£-809]* #,##0.00_-;_-[$£-809]* "-"??_-;_-@_-</c:formatCode>
                <c:ptCount val="15"/>
                <c:pt idx="0">
                  <c:v>321</c:v>
                </c:pt>
                <c:pt idx="1">
                  <c:v>15</c:v>
                </c:pt>
                <c:pt idx="2">
                  <c:v>20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110</c:v>
                </c:pt>
                <c:pt idx="8">
                  <c:v>26</c:v>
                </c:pt>
                <c:pt idx="9">
                  <c:v>55</c:v>
                </c:pt>
                <c:pt idx="10">
                  <c:v>65</c:v>
                </c:pt>
                <c:pt idx="11">
                  <c:v>65</c:v>
                </c:pt>
                <c:pt idx="12">
                  <c:v>50</c:v>
                </c:pt>
                <c:pt idx="13">
                  <c:v>50</c:v>
                </c:pt>
                <c:pt idx="1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230A-43F6-B9C8-34C314DD246D}"/>
            </c:ext>
          </c:extLst>
        </c:ser>
        <c:ser>
          <c:idx val="4"/>
          <c:order val="4"/>
          <c:tx>
            <c:strRef>
              <c:f>'Budget project'!$F$3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project'!$F$4:$F$18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40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100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50</c:v>
                </c:pt>
                <c:pt idx="12">
                  <c:v>70</c:v>
                </c:pt>
                <c:pt idx="13">
                  <c:v>85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230A-43F6-B9C8-34C314DD246D}"/>
            </c:ext>
          </c:extLst>
        </c:ser>
        <c:ser>
          <c:idx val="5"/>
          <c:order val="5"/>
          <c:tx>
            <c:strRef>
              <c:f>'Budget project'!$G$3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C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E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0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2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4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8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A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C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E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0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2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4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6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8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project'!$G$4:$G$18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180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230A-43F6-B9C8-34C314DD246D}"/>
            </c:ext>
          </c:extLst>
        </c:ser>
        <c:ser>
          <c:idx val="6"/>
          <c:order val="6"/>
          <c:tx>
            <c:strRef>
              <c:f>'Budget project'!$H$3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project'!$H$4:$H$18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8-230A-43F6-B9C8-34C314DD246D}"/>
            </c:ext>
          </c:extLst>
        </c:ser>
        <c:ser>
          <c:idx val="7"/>
          <c:order val="7"/>
          <c:tx>
            <c:strRef>
              <c:f>'Budget project'!$I$3</c:f>
              <c:strCache>
                <c:ptCount val="1"/>
                <c:pt idx="0">
                  <c:v>JULY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0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2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4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6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8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A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C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E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0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2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4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6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project'!$I$4:$I$18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7-230A-43F6-B9C8-34C314DD246D}"/>
            </c:ext>
          </c:extLst>
        </c:ser>
        <c:ser>
          <c:idx val="8"/>
          <c:order val="8"/>
          <c:tx>
            <c:strRef>
              <c:f>'Budget project'!$J$3</c:f>
              <c:strCache>
                <c:ptCount val="1"/>
                <c:pt idx="0">
                  <c:v>AUGUST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project'!$J$4:$J$18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6-230A-43F6-B9C8-34C314DD246D}"/>
            </c:ext>
          </c:extLst>
        </c:ser>
        <c:ser>
          <c:idx val="9"/>
          <c:order val="9"/>
          <c:tx>
            <c:strRef>
              <c:f>'Budget project'!$K$3</c:f>
              <c:strCache>
                <c:ptCount val="1"/>
                <c:pt idx="0">
                  <c:v>SEPTEMBER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8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A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C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E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0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2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4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6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8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A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C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E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0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2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4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project'!$K$4:$K$18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5-230A-43F6-B9C8-34C314DD246D}"/>
            </c:ext>
          </c:extLst>
        </c:ser>
        <c:ser>
          <c:idx val="10"/>
          <c:order val="10"/>
          <c:tx>
            <c:strRef>
              <c:f>'Budget project'!$L$3</c:f>
              <c:strCache>
                <c:ptCount val="1"/>
                <c:pt idx="0">
                  <c:v>OCTOBER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project'!$L$4:$L$18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15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4-230A-43F6-B9C8-34C314DD246D}"/>
            </c:ext>
          </c:extLst>
        </c:ser>
        <c:ser>
          <c:idx val="11"/>
          <c:order val="11"/>
          <c:tx>
            <c:strRef>
              <c:f>'Budget project'!$M$3</c:f>
              <c:strCache>
                <c:ptCount val="1"/>
                <c:pt idx="0">
                  <c:v>NOVEMBER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6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A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C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E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0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2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4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6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8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A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C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E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0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2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project'!$M$4:$M$18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3-230A-43F6-B9C8-34C314DD246D}"/>
            </c:ext>
          </c:extLst>
        </c:ser>
        <c:ser>
          <c:idx val="12"/>
          <c:order val="12"/>
          <c:tx>
            <c:strRef>
              <c:f>'Budget project'!$N$3</c:f>
              <c:strCache>
                <c:ptCount val="1"/>
                <c:pt idx="0">
                  <c:v>DECEMBER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project'!$N$4:$N$18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2-230A-43F6-B9C8-34C314DD24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Monthly Budget</a:t>
            </a:r>
          </a:p>
        </c:rich>
      </c:tx>
      <c:layout>
        <c:manualLayout>
          <c:xMode val="edge"/>
          <c:yMode val="edge"/>
          <c:x val="0.44492905666951382"/>
          <c:y val="2.6621265111269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project'!$B$3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project'!$B$4:$B$20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150</c:v>
                </c:pt>
                <c:pt idx="12">
                  <c:v>138</c:v>
                </c:pt>
                <c:pt idx="13">
                  <c:v>60</c:v>
                </c:pt>
                <c:pt idx="14">
                  <c:v>100</c:v>
                </c:pt>
                <c:pt idx="16">
                  <c:v>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A-468F-995D-A55838C0E7E3}"/>
            </c:ext>
          </c:extLst>
        </c:ser>
        <c:ser>
          <c:idx val="1"/>
          <c:order val="1"/>
          <c:tx>
            <c:v>JANUARY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project'!$C$4:$C$20</c:f>
              <c:numCache>
                <c:formatCode>_-[$£-809]* #,##0.00_-;\-[$£-809]* #,##0.00_-;_-[$£-809]* "-"??_-;_-@_-</c:formatCode>
                <c:ptCount val="17"/>
                <c:pt idx="0">
                  <c:v>200</c:v>
                </c:pt>
                <c:pt idx="1">
                  <c:v>10</c:v>
                </c:pt>
                <c:pt idx="2">
                  <c:v>30</c:v>
                </c:pt>
                <c:pt idx="3">
                  <c:v>78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100</c:v>
                </c:pt>
                <c:pt idx="8">
                  <c:v>8.99</c:v>
                </c:pt>
                <c:pt idx="9">
                  <c:v>30</c:v>
                </c:pt>
                <c:pt idx="10">
                  <c:v>116</c:v>
                </c:pt>
                <c:pt idx="11">
                  <c:v>173</c:v>
                </c:pt>
                <c:pt idx="12">
                  <c:v>50</c:v>
                </c:pt>
                <c:pt idx="13">
                  <c:v>230</c:v>
                </c:pt>
                <c:pt idx="14">
                  <c:v>50</c:v>
                </c:pt>
                <c:pt idx="16">
                  <c:v>1685.99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A-468F-995D-A55838C0E7E3}"/>
            </c:ext>
          </c:extLst>
        </c:ser>
        <c:ser>
          <c:idx val="2"/>
          <c:order val="2"/>
          <c:tx>
            <c:strRef>
              <c:f>'Budget project'!$D$3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project'!$D$4:$D$20</c:f>
              <c:numCache>
                <c:formatCode>_-[$£-809]* #,##0.00_-;\-[$£-809]* #,##0.00_-;_-[$£-809]* "-"??_-;_-@_-</c:formatCode>
                <c:ptCount val="17"/>
                <c:pt idx="0">
                  <c:v>400</c:v>
                </c:pt>
                <c:pt idx="1">
                  <c:v>10</c:v>
                </c:pt>
                <c:pt idx="2">
                  <c:v>30</c:v>
                </c:pt>
                <c:pt idx="3">
                  <c:v>73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955</c:v>
                </c:pt>
                <c:pt idx="8">
                  <c:v>2.19</c:v>
                </c:pt>
                <c:pt idx="9">
                  <c:v>30</c:v>
                </c:pt>
                <c:pt idx="10">
                  <c:v>150</c:v>
                </c:pt>
                <c:pt idx="11">
                  <c:v>100</c:v>
                </c:pt>
                <c:pt idx="12">
                  <c:v>30</c:v>
                </c:pt>
                <c:pt idx="13">
                  <c:v>135</c:v>
                </c:pt>
                <c:pt idx="14">
                  <c:v>100</c:v>
                </c:pt>
                <c:pt idx="16">
                  <c:v>2625.19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A-468F-995D-A55838C0E7E3}"/>
            </c:ext>
          </c:extLst>
        </c:ser>
        <c:ser>
          <c:idx val="3"/>
          <c:order val="3"/>
          <c:tx>
            <c:strRef>
              <c:f>'Budget project'!$E$3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project'!$E$4:$E$20</c:f>
              <c:numCache>
                <c:formatCode>_-[$£-809]* #,##0.00_-;\-[$£-809]* #,##0.00_-;_-[$£-809]* "-"??_-;_-@_-</c:formatCode>
                <c:ptCount val="17"/>
                <c:pt idx="0">
                  <c:v>321</c:v>
                </c:pt>
                <c:pt idx="1">
                  <c:v>15</c:v>
                </c:pt>
                <c:pt idx="2">
                  <c:v>20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110</c:v>
                </c:pt>
                <c:pt idx="8">
                  <c:v>26</c:v>
                </c:pt>
                <c:pt idx="9">
                  <c:v>55</c:v>
                </c:pt>
                <c:pt idx="10">
                  <c:v>65</c:v>
                </c:pt>
                <c:pt idx="11">
                  <c:v>65</c:v>
                </c:pt>
                <c:pt idx="12">
                  <c:v>50</c:v>
                </c:pt>
                <c:pt idx="13">
                  <c:v>50</c:v>
                </c:pt>
                <c:pt idx="14">
                  <c:v>40</c:v>
                </c:pt>
                <c:pt idx="16">
                  <c:v>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6A-468F-995D-A55838C0E7E3}"/>
            </c:ext>
          </c:extLst>
        </c:ser>
        <c:ser>
          <c:idx val="4"/>
          <c:order val="4"/>
          <c:tx>
            <c:strRef>
              <c:f>'Budget project'!$F$3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project'!$F$4:$F$20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40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100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50</c:v>
                </c:pt>
                <c:pt idx="12">
                  <c:v>70</c:v>
                </c:pt>
                <c:pt idx="13">
                  <c:v>85</c:v>
                </c:pt>
                <c:pt idx="14">
                  <c:v>50</c:v>
                </c:pt>
                <c:pt idx="16">
                  <c:v>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6A-468F-995D-A55838C0E7E3}"/>
            </c:ext>
          </c:extLst>
        </c:ser>
        <c:ser>
          <c:idx val="5"/>
          <c:order val="5"/>
          <c:tx>
            <c:strRef>
              <c:f>'Budget project'!$G$3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project'!$G$4:$G$20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180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6A-468F-995D-A55838C0E7E3}"/>
            </c:ext>
          </c:extLst>
        </c:ser>
        <c:ser>
          <c:idx val="6"/>
          <c:order val="6"/>
          <c:tx>
            <c:strRef>
              <c:f>'Budget project'!$H$3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project'!$H$4:$H$20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6A-468F-995D-A55838C0E7E3}"/>
            </c:ext>
          </c:extLst>
        </c:ser>
        <c:ser>
          <c:idx val="7"/>
          <c:order val="7"/>
          <c:tx>
            <c:strRef>
              <c:f>'Budget project'!$I$3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project'!$I$4:$I$20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6A-468F-995D-A55838C0E7E3}"/>
            </c:ext>
          </c:extLst>
        </c:ser>
        <c:ser>
          <c:idx val="8"/>
          <c:order val="8"/>
          <c:tx>
            <c:strRef>
              <c:f>'Budget project'!$J$3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project'!$J$4:$J$20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6A-468F-995D-A55838C0E7E3}"/>
            </c:ext>
          </c:extLst>
        </c:ser>
        <c:ser>
          <c:idx val="9"/>
          <c:order val="9"/>
          <c:tx>
            <c:strRef>
              <c:f>'Budget project'!$K$3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project'!$K$4:$K$20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6A-468F-995D-A55838C0E7E3}"/>
            </c:ext>
          </c:extLst>
        </c:ser>
        <c:ser>
          <c:idx val="10"/>
          <c:order val="10"/>
          <c:tx>
            <c:strRef>
              <c:f>'Budget project'!$L$3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project'!$L$4:$L$20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15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6A-468F-995D-A55838C0E7E3}"/>
            </c:ext>
          </c:extLst>
        </c:ser>
        <c:ser>
          <c:idx val="11"/>
          <c:order val="11"/>
          <c:tx>
            <c:strRef>
              <c:f>'Budget project'!$M$3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project'!$M$4:$M$20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96A-468F-995D-A55838C0E7E3}"/>
            </c:ext>
          </c:extLst>
        </c:ser>
        <c:ser>
          <c:idx val="12"/>
          <c:order val="12"/>
          <c:tx>
            <c:strRef>
              <c:f>'Budget project'!$N$3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project'!$N$4:$N$20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6A-468F-995D-A55838C0E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943368"/>
        <c:axId val="1952519176"/>
      </c:barChart>
      <c:catAx>
        <c:axId val="172494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19176"/>
        <c:crosses val="autoZero"/>
        <c:auto val="1"/>
        <c:lblAlgn val="ctr"/>
        <c:lblOffset val="100"/>
        <c:noMultiLvlLbl val="0"/>
      </c:catAx>
      <c:valAx>
        <c:axId val="195251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4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73373904397844"/>
          <c:y val="0.87640129385374277"/>
          <c:w val="0.69598772956727695"/>
          <c:h val="0.105651879510147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76200</xdr:colOff>
      <xdr:row>2</xdr:row>
      <xdr:rowOff>180975</xdr:rowOff>
    </xdr:from>
    <xdr:to>
      <xdr:col>32</xdr:col>
      <xdr:colOff>190500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6E85C-21CD-19D7-EC4B-B73BD3981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95250</xdr:colOff>
      <xdr:row>27</xdr:row>
      <xdr:rowOff>104775</xdr:rowOff>
    </xdr:from>
    <xdr:to>
      <xdr:col>32</xdr:col>
      <xdr:colOff>219075</xdr:colOff>
      <xdr:row>47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BAEF6D-9283-6258-5BCC-D9716F6A35CA}"/>
            </a:ext>
            <a:ext uri="{147F2762-F138-4A5C-976F-8EAC2B608ADB}">
              <a16:predDERef xmlns:a16="http://schemas.microsoft.com/office/drawing/2014/main" pred="{9536E85C-21CD-19D7-EC4B-B73BD3981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9</xdr:row>
      <xdr:rowOff>180975</xdr:rowOff>
    </xdr:from>
    <xdr:to>
      <xdr:col>7</xdr:col>
      <xdr:colOff>581025</xdr:colOff>
      <xdr:row>33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BC3F9-9419-48AE-97F3-6694F95A7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10</xdr:row>
      <xdr:rowOff>0</xdr:rowOff>
    </xdr:from>
    <xdr:to>
      <xdr:col>20</xdr:col>
      <xdr:colOff>209550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2E8B82-027C-4ABC-9F75-1304F63AA62C}"/>
            </a:ext>
            <a:ext uri="{147F2762-F138-4A5C-976F-8EAC2B608ADB}">
              <a16:predDERef xmlns:a16="http://schemas.microsoft.com/office/drawing/2014/main" pred="{4BBBC3F9-9419-48AE-97F3-6694F95A7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47625</xdr:colOff>
      <xdr:row>36</xdr:row>
      <xdr:rowOff>152400</xdr:rowOff>
    </xdr:from>
    <xdr:to>
      <xdr:col>14</xdr:col>
      <xdr:colOff>38100</xdr:colOff>
      <xdr:row>44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8AC00D-A524-86B2-CF6A-6CA77316F0C0}"/>
            </a:ext>
            <a:ext uri="{147F2762-F138-4A5C-976F-8EAC2B608ADB}">
              <a16:predDERef xmlns:a16="http://schemas.microsoft.com/office/drawing/2014/main" pred="{092E8B82-027C-4ABC-9F75-1304F63AA62C}"/>
            </a:ext>
          </a:extLst>
        </xdr:cNvPr>
        <xdr:cNvSpPr txBox="1"/>
      </xdr:nvSpPr>
      <xdr:spPr>
        <a:xfrm>
          <a:off x="3238500" y="7286625"/>
          <a:ext cx="7839075" cy="1514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1. Rent accounts for 30% of annual income at £7,200/year.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2. February was the highest spending month (£2,625.19) due to a one-off online purchase spike.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3. Food, groceries and restaurants combined average £300/month.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4. Black Tax totalled £890 annually — an often overlooked but real household cost.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336FBF-6282-4954-ADAD-6AC71EFA6201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LIxqXUSMcWLnreiv9e_rQ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B9" sqref="B9"/>
    </sheetView>
  </sheetViews>
  <sheetFormatPr defaultRowHeight="15"/>
  <cols>
    <col min="1" max="1" width="11.5703125" bestFit="1" customWidth="1"/>
    <col min="3" max="3" width="20.85546875" bestFit="1" customWidth="1"/>
    <col min="4" max="4" width="13" bestFit="1" customWidth="1"/>
    <col min="5" max="5" width="14.28515625" bestFit="1" customWidth="1"/>
    <col min="6" max="6" width="14.85546875" bestFit="1" customWidth="1"/>
  </cols>
  <sheetData>
    <row r="1" spans="1:8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>
        <v>7.0000000000000007E-2</v>
      </c>
    </row>
    <row r="2" spans="1:8">
      <c r="A2">
        <v>1</v>
      </c>
      <c r="B2" t="s">
        <v>7</v>
      </c>
      <c r="C2">
        <v>14.25</v>
      </c>
      <c r="D2">
        <v>158</v>
      </c>
      <c r="E2">
        <f>C2*D2</f>
        <v>2251.5</v>
      </c>
      <c r="F2">
        <f>+E2*$H$1</f>
        <v>157.60500000000002</v>
      </c>
    </row>
    <row r="3" spans="1:8">
      <c r="A3">
        <v>2</v>
      </c>
      <c r="B3" t="s">
        <v>8</v>
      </c>
      <c r="C3">
        <v>15.5</v>
      </c>
      <c r="D3">
        <v>160</v>
      </c>
      <c r="E3">
        <f>C3*D3</f>
        <v>2480</v>
      </c>
      <c r="F3">
        <f t="shared" ref="F3:F11" si="0">+E3*$H$1</f>
        <v>173.60000000000002</v>
      </c>
    </row>
    <row r="4" spans="1:8">
      <c r="A4">
        <v>3</v>
      </c>
      <c r="B4" t="s">
        <v>9</v>
      </c>
      <c r="C4">
        <v>16</v>
      </c>
      <c r="D4">
        <v>125</v>
      </c>
      <c r="E4">
        <f>C4*D4</f>
        <v>2000</v>
      </c>
      <c r="F4">
        <f t="shared" si="0"/>
        <v>140</v>
      </c>
    </row>
    <row r="5" spans="1:8">
      <c r="A5">
        <v>4</v>
      </c>
      <c r="B5" t="s">
        <v>10</v>
      </c>
      <c r="C5">
        <v>13.75</v>
      </c>
      <c r="D5">
        <v>165</v>
      </c>
      <c r="E5">
        <f t="shared" ref="E5:E11" si="1">C5*D5</f>
        <v>2268.75</v>
      </c>
      <c r="F5">
        <f t="shared" si="0"/>
        <v>158.81250000000003</v>
      </c>
    </row>
    <row r="6" spans="1:8">
      <c r="A6">
        <v>5</v>
      </c>
      <c r="B6" t="s">
        <v>11</v>
      </c>
      <c r="C6">
        <v>15.5</v>
      </c>
      <c r="D6">
        <v>144</v>
      </c>
      <c r="E6">
        <f>C6*D6</f>
        <v>2232</v>
      </c>
      <c r="F6">
        <f t="shared" si="0"/>
        <v>156.24</v>
      </c>
      <c r="H6" t="s">
        <v>12</v>
      </c>
    </row>
    <row r="7" spans="1:8">
      <c r="A7">
        <v>6</v>
      </c>
      <c r="B7" t="s">
        <v>13</v>
      </c>
      <c r="C7">
        <v>17</v>
      </c>
      <c r="D7">
        <v>174</v>
      </c>
      <c r="E7">
        <f t="shared" si="1"/>
        <v>2958</v>
      </c>
      <c r="F7">
        <f t="shared" si="0"/>
        <v>207.06000000000003</v>
      </c>
    </row>
    <row r="8" spans="1:8">
      <c r="A8">
        <v>7</v>
      </c>
      <c r="B8" t="s">
        <v>14</v>
      </c>
      <c r="C8">
        <v>13.75</v>
      </c>
      <c r="D8">
        <v>161</v>
      </c>
      <c r="E8">
        <f t="shared" si="1"/>
        <v>2213.75</v>
      </c>
      <c r="F8">
        <f t="shared" si="0"/>
        <v>154.96250000000001</v>
      </c>
    </row>
    <row r="9" spans="1:8">
      <c r="A9">
        <v>8</v>
      </c>
      <c r="B9" t="s">
        <v>15</v>
      </c>
      <c r="C9">
        <v>15.5</v>
      </c>
      <c r="D9">
        <v>69</v>
      </c>
      <c r="E9">
        <f t="shared" si="1"/>
        <v>1069.5</v>
      </c>
      <c r="F9">
        <f t="shared" si="0"/>
        <v>74.865000000000009</v>
      </c>
    </row>
    <row r="10" spans="1:8">
      <c r="A10">
        <v>9</v>
      </c>
      <c r="B10" t="s">
        <v>16</v>
      </c>
      <c r="C10">
        <v>10.75</v>
      </c>
      <c r="D10">
        <v>85</v>
      </c>
      <c r="E10">
        <f>C10*D10</f>
        <v>913.75</v>
      </c>
      <c r="F10">
        <f t="shared" si="0"/>
        <v>63.962500000000006</v>
      </c>
    </row>
    <row r="11" spans="1:8">
      <c r="A11">
        <v>10</v>
      </c>
      <c r="B11" t="s">
        <v>17</v>
      </c>
      <c r="C11">
        <v>15.5</v>
      </c>
      <c r="D11">
        <v>117</v>
      </c>
      <c r="E11">
        <f t="shared" si="1"/>
        <v>1813.5</v>
      </c>
      <c r="F11">
        <f t="shared" si="0"/>
        <v>126.94500000000001</v>
      </c>
    </row>
    <row r="12" spans="1:8">
      <c r="A12">
        <v>11</v>
      </c>
      <c r="C12" s="1" t="s">
        <v>18</v>
      </c>
      <c r="D12">
        <f>SUM(D2:D11)</f>
        <v>1358</v>
      </c>
      <c r="E12">
        <f>SUM(E2:E11)</f>
        <v>20200.75</v>
      </c>
      <c r="F12">
        <f>SUM(taxesowed)</f>
        <v>1414.0525000000002</v>
      </c>
    </row>
    <row r="13" spans="1:8">
      <c r="A13">
        <v>12</v>
      </c>
      <c r="C13" s="1" t="s">
        <v>19</v>
      </c>
      <c r="D13">
        <f>AVERAGE(D2:D11)</f>
        <v>135.80000000000001</v>
      </c>
      <c r="E13">
        <f>AVERAGE(E2:E11)</f>
        <v>2020.075</v>
      </c>
      <c r="F13">
        <f>AVERAGE(taxesowed)</f>
        <v>141.40525000000002</v>
      </c>
    </row>
    <row r="14" spans="1:8">
      <c r="A14">
        <v>13</v>
      </c>
      <c r="C14" s="2" t="s">
        <v>20</v>
      </c>
      <c r="D14">
        <f>MAX(D2:D11)</f>
        <v>174</v>
      </c>
      <c r="E14">
        <f t="shared" ref="E14:F14" si="2">MAX(E2:E11)</f>
        <v>2958</v>
      </c>
      <c r="F14">
        <f t="shared" si="2"/>
        <v>207.06000000000003</v>
      </c>
    </row>
    <row r="15" spans="1:8">
      <c r="A15">
        <v>14</v>
      </c>
      <c r="C15" s="2" t="s">
        <v>21</v>
      </c>
      <c r="D15">
        <f>MIN(D2:D11)</f>
        <v>69</v>
      </c>
      <c r="E15">
        <f t="shared" ref="E15:F15" si="3">MIN(E2:E11)</f>
        <v>913.75</v>
      </c>
      <c r="F15">
        <f t="shared" si="3"/>
        <v>63.962500000000006</v>
      </c>
    </row>
    <row r="16" spans="1:8">
      <c r="A16">
        <v>15</v>
      </c>
      <c r="C16" s="2" t="s">
        <v>22</v>
      </c>
      <c r="D16">
        <f>COUNT(D2:D11)</f>
        <v>10</v>
      </c>
      <c r="E16">
        <f t="shared" ref="E16:F16" si="4">COUNT(E2:E11)</f>
        <v>10</v>
      </c>
      <c r="F16">
        <f t="shared" si="4"/>
        <v>10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2615-5B2E-4BEE-B408-D944E09C6D2C}">
  <dimension ref="A1:C3"/>
  <sheetViews>
    <sheetView workbookViewId="0">
      <selection activeCell="D4" sqref="D4"/>
    </sheetView>
  </sheetViews>
  <sheetFormatPr defaultRowHeight="15"/>
  <sheetData>
    <row r="1" spans="1:3">
      <c r="A1" s="4" t="s">
        <v>23</v>
      </c>
      <c r="B1" s="4" t="s">
        <v>24</v>
      </c>
      <c r="C1">
        <v>23</v>
      </c>
    </row>
    <row r="2" spans="1:3">
      <c r="A2" t="s">
        <v>25</v>
      </c>
      <c r="B2" t="s">
        <v>24</v>
      </c>
      <c r="C2">
        <v>15</v>
      </c>
    </row>
    <row r="3" spans="1:3">
      <c r="A3" t="s">
        <v>26</v>
      </c>
      <c r="B3" t="s">
        <v>24</v>
      </c>
      <c r="C3">
        <v>21</v>
      </c>
    </row>
  </sheetData>
  <sortState xmlns:xlrd2="http://schemas.microsoft.com/office/spreadsheetml/2017/richdata2" ref="A2:C3">
    <sortCondition ref="A2:A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DD41-2E6B-496B-AAED-618AEF2BFD33}">
  <dimension ref="A1:T20"/>
  <sheetViews>
    <sheetView workbookViewId="0">
      <selection activeCell="S18" sqref="S18"/>
    </sheetView>
  </sheetViews>
  <sheetFormatPr defaultRowHeight="15"/>
  <cols>
    <col min="1" max="1" width="19" bestFit="1" customWidth="1"/>
    <col min="2" max="2" width="11.7109375" customWidth="1"/>
    <col min="3" max="4" width="11.85546875" customWidth="1"/>
    <col min="5" max="5" width="10.7109375" customWidth="1"/>
    <col min="6" max="6" width="10.5703125" customWidth="1"/>
    <col min="7" max="7" width="13.140625" customWidth="1"/>
    <col min="8" max="8" width="11.42578125" bestFit="1" customWidth="1"/>
    <col min="9" max="9" width="12" bestFit="1" customWidth="1"/>
    <col min="10" max="10" width="12.42578125" customWidth="1"/>
    <col min="11" max="11" width="12.85546875" customWidth="1"/>
    <col min="12" max="12" width="11.85546875" customWidth="1"/>
    <col min="13" max="13" width="13.85546875" customWidth="1"/>
    <col min="14" max="14" width="13" customWidth="1"/>
    <col min="18" max="18" width="24.5703125" customWidth="1"/>
    <col min="19" max="19" width="15.28515625" customWidth="1"/>
    <col min="20" max="20" width="13.42578125" customWidth="1"/>
  </cols>
  <sheetData>
    <row r="1" spans="1:20" ht="21">
      <c r="A1" s="5" t="s">
        <v>27</v>
      </c>
    </row>
    <row r="3" spans="1:20">
      <c r="A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R3" s="8" t="s">
        <v>41</v>
      </c>
      <c r="S3" s="8" t="s">
        <v>42</v>
      </c>
      <c r="T3" s="8" t="s">
        <v>43</v>
      </c>
    </row>
    <row r="4" spans="1:20">
      <c r="A4" t="s">
        <v>44</v>
      </c>
      <c r="B4" s="6">
        <f>250</f>
        <v>250</v>
      </c>
      <c r="C4" s="6">
        <f>200</f>
        <v>200</v>
      </c>
      <c r="D4" s="6">
        <f>400</f>
        <v>400</v>
      </c>
      <c r="E4" s="6">
        <f>321</f>
        <v>321</v>
      </c>
      <c r="F4" s="6">
        <f>250</f>
        <v>250</v>
      </c>
      <c r="G4" s="6">
        <f>250</f>
        <v>250</v>
      </c>
      <c r="H4" s="6">
        <f>250</f>
        <v>250</v>
      </c>
      <c r="I4" s="6">
        <f>250</f>
        <v>250</v>
      </c>
      <c r="J4" s="6">
        <f>250</f>
        <v>250</v>
      </c>
      <c r="K4" s="6">
        <f>250</f>
        <v>250</v>
      </c>
      <c r="L4" s="6">
        <f>250</f>
        <v>250</v>
      </c>
      <c r="M4" s="6">
        <f>250</f>
        <v>250</v>
      </c>
      <c r="N4" s="6">
        <f>250</f>
        <v>250</v>
      </c>
      <c r="R4" s="9" t="s">
        <v>45</v>
      </c>
      <c r="S4" s="10">
        <f>600</f>
        <v>600</v>
      </c>
      <c r="T4" s="10">
        <f>S4/12</f>
        <v>50</v>
      </c>
    </row>
    <row r="5" spans="1:20">
      <c r="A5" t="s">
        <v>46</v>
      </c>
      <c r="B5" s="6">
        <f>15</f>
        <v>15</v>
      </c>
      <c r="C5" s="6">
        <f>10</f>
        <v>10</v>
      </c>
      <c r="D5" s="6">
        <f>10</f>
        <v>10</v>
      </c>
      <c r="E5" s="6">
        <f>15</f>
        <v>15</v>
      </c>
      <c r="F5" s="6">
        <f>15</f>
        <v>15</v>
      </c>
      <c r="G5" s="6">
        <f>15</f>
        <v>15</v>
      </c>
      <c r="H5" s="6">
        <f>15</f>
        <v>15</v>
      </c>
      <c r="I5" s="6">
        <f>15</f>
        <v>15</v>
      </c>
      <c r="J5" s="6">
        <f>15</f>
        <v>15</v>
      </c>
      <c r="K5" s="6">
        <f>15</f>
        <v>15</v>
      </c>
      <c r="L5" s="6">
        <f>15</f>
        <v>15</v>
      </c>
      <c r="M5" s="6">
        <f>15</f>
        <v>15</v>
      </c>
      <c r="N5" s="6">
        <f>15</f>
        <v>15</v>
      </c>
      <c r="R5" s="9" t="s">
        <v>47</v>
      </c>
      <c r="S5" s="10">
        <f>30</f>
        <v>30</v>
      </c>
      <c r="T5" s="10">
        <f>S5/12</f>
        <v>2.5</v>
      </c>
    </row>
    <row r="6" spans="1:20">
      <c r="A6" t="s">
        <v>48</v>
      </c>
      <c r="B6" s="6">
        <f>50</f>
        <v>50</v>
      </c>
      <c r="C6" s="6">
        <v>30</v>
      </c>
      <c r="D6" s="6">
        <f>30</f>
        <v>30</v>
      </c>
      <c r="E6" s="6">
        <v>20</v>
      </c>
      <c r="F6" s="6">
        <v>40</v>
      </c>
      <c r="G6" s="6">
        <v>50</v>
      </c>
      <c r="H6" s="6">
        <f>30</f>
        <v>30</v>
      </c>
      <c r="I6" s="6">
        <v>30</v>
      </c>
      <c r="J6" s="6">
        <v>30</v>
      </c>
      <c r="K6" s="6">
        <f>30</f>
        <v>30</v>
      </c>
      <c r="L6" s="6">
        <v>30</v>
      </c>
      <c r="M6" s="6">
        <v>50</v>
      </c>
      <c r="N6" s="6">
        <f>30</f>
        <v>30</v>
      </c>
      <c r="R6" s="9"/>
      <c r="S6" s="9"/>
      <c r="T6" s="9"/>
    </row>
    <row r="7" spans="1:20">
      <c r="A7" t="s">
        <v>49</v>
      </c>
      <c r="B7" s="6">
        <v>100</v>
      </c>
      <c r="C7" s="6">
        <f>78</f>
        <v>78</v>
      </c>
      <c r="D7" s="6">
        <f>73</f>
        <v>73</v>
      </c>
      <c r="E7" s="6">
        <v>50</v>
      </c>
      <c r="F7" s="6">
        <v>100</v>
      </c>
      <c r="G7" s="6">
        <f>180</f>
        <v>180</v>
      </c>
      <c r="H7" s="6">
        <v>50</v>
      </c>
      <c r="I7" s="6">
        <v>100</v>
      </c>
      <c r="J7" s="6">
        <v>30</v>
      </c>
      <c r="K7" s="6">
        <f>50</f>
        <v>50</v>
      </c>
      <c r="L7" s="6">
        <v>15</v>
      </c>
      <c r="M7" s="6">
        <v>50</v>
      </c>
      <c r="N7" s="6">
        <f>100</f>
        <v>100</v>
      </c>
      <c r="R7" s="8" t="s">
        <v>50</v>
      </c>
      <c r="S7" s="11">
        <f>SUM(S4:S5)</f>
        <v>630</v>
      </c>
      <c r="T7" s="11">
        <f>SUM(T4:T5)</f>
        <v>52.5</v>
      </c>
    </row>
    <row r="8" spans="1:20">
      <c r="A8" t="s">
        <v>51</v>
      </c>
      <c r="B8" s="6">
        <f>600</f>
        <v>600</v>
      </c>
      <c r="C8" s="6">
        <f>600</f>
        <v>600</v>
      </c>
      <c r="D8" s="6">
        <f>600</f>
        <v>600</v>
      </c>
      <c r="E8" s="6">
        <f>600</f>
        <v>600</v>
      </c>
      <c r="F8" s="6">
        <f>600</f>
        <v>600</v>
      </c>
      <c r="G8" s="6">
        <v>600</v>
      </c>
      <c r="H8" s="6">
        <f>600</f>
        <v>600</v>
      </c>
      <c r="I8" s="6">
        <f>600</f>
        <v>600</v>
      </c>
      <c r="J8" s="6">
        <f>600</f>
        <v>600</v>
      </c>
      <c r="K8" s="6">
        <f>600</f>
        <v>600</v>
      </c>
      <c r="L8" s="6">
        <f>600</f>
        <v>600</v>
      </c>
      <c r="M8" s="6">
        <f>600</f>
        <v>600</v>
      </c>
      <c r="N8" s="6">
        <f>600</f>
        <v>600</v>
      </c>
    </row>
    <row r="9" spans="1:20">
      <c r="A9" t="s">
        <v>52</v>
      </c>
      <c r="B9" s="6">
        <v>100</v>
      </c>
      <c r="C9" s="6">
        <v>0</v>
      </c>
      <c r="D9" s="6">
        <v>0</v>
      </c>
      <c r="E9" s="6">
        <v>0</v>
      </c>
      <c r="F9" s="6">
        <f>100</f>
        <v>100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100</v>
      </c>
    </row>
    <row r="10" spans="1:20">
      <c r="A10" t="s">
        <v>53</v>
      </c>
      <c r="B10" s="6">
        <f>10</f>
        <v>10</v>
      </c>
      <c r="C10" s="6">
        <f>10</f>
        <v>10</v>
      </c>
      <c r="D10" s="6">
        <f>10</f>
        <v>10</v>
      </c>
      <c r="E10" s="6">
        <f>10</f>
        <v>10</v>
      </c>
      <c r="F10" s="6">
        <f>10</f>
        <v>10</v>
      </c>
      <c r="G10" s="6">
        <f>10</f>
        <v>10</v>
      </c>
      <c r="H10" s="6">
        <f>10</f>
        <v>10</v>
      </c>
      <c r="I10" s="6">
        <f>10</f>
        <v>10</v>
      </c>
      <c r="J10" s="6">
        <f>10</f>
        <v>10</v>
      </c>
      <c r="K10" s="6">
        <f>10</f>
        <v>10</v>
      </c>
      <c r="L10" s="6">
        <f>10</f>
        <v>10</v>
      </c>
      <c r="M10" s="6">
        <f>10</f>
        <v>10</v>
      </c>
      <c r="N10" s="6">
        <f>10</f>
        <v>10</v>
      </c>
    </row>
    <row r="11" spans="1:20">
      <c r="A11" t="s">
        <v>54</v>
      </c>
      <c r="B11" s="6">
        <f>50</f>
        <v>50</v>
      </c>
      <c r="C11" s="6">
        <f>100</f>
        <v>100</v>
      </c>
      <c r="D11" s="6">
        <f>955</f>
        <v>955</v>
      </c>
      <c r="E11" s="6">
        <f>110</f>
        <v>110</v>
      </c>
      <c r="F11" s="6">
        <f>100</f>
        <v>100</v>
      </c>
      <c r="G11" s="6">
        <f>50</f>
        <v>50</v>
      </c>
      <c r="H11" s="6">
        <f>50</f>
        <v>50</v>
      </c>
      <c r="I11" s="6">
        <f>50</f>
        <v>50</v>
      </c>
      <c r="J11" s="6">
        <f>50</f>
        <v>50</v>
      </c>
      <c r="K11" s="6">
        <f>50</f>
        <v>50</v>
      </c>
      <c r="L11" s="6">
        <f>50</f>
        <v>50</v>
      </c>
      <c r="M11" s="6">
        <f>50</f>
        <v>50</v>
      </c>
      <c r="N11" s="6">
        <f>50</f>
        <v>50</v>
      </c>
    </row>
    <row r="12" spans="1:20">
      <c r="A12" t="s">
        <v>55</v>
      </c>
      <c r="B12" s="6">
        <f>50</f>
        <v>50</v>
      </c>
      <c r="C12" s="6">
        <f>8.99</f>
        <v>8.99</v>
      </c>
      <c r="D12" s="6">
        <f>2.19</f>
        <v>2.19</v>
      </c>
      <c r="E12" s="6">
        <f>26</f>
        <v>26</v>
      </c>
      <c r="F12" s="6">
        <f>50</f>
        <v>50</v>
      </c>
      <c r="G12" s="6">
        <f>50</f>
        <v>50</v>
      </c>
      <c r="H12" s="6">
        <f>50</f>
        <v>50</v>
      </c>
      <c r="I12" s="6">
        <f>50</f>
        <v>50</v>
      </c>
      <c r="J12" s="6">
        <f>50</f>
        <v>50</v>
      </c>
      <c r="K12" s="6">
        <f>50</f>
        <v>50</v>
      </c>
      <c r="L12" s="6">
        <f>50</f>
        <v>50</v>
      </c>
      <c r="M12" s="6">
        <f>50</f>
        <v>50</v>
      </c>
      <c r="N12" s="6">
        <f>50</f>
        <v>50</v>
      </c>
      <c r="R12" s="7" t="s">
        <v>56</v>
      </c>
      <c r="S12" s="6">
        <f>2200</f>
        <v>2200</v>
      </c>
    </row>
    <row r="13" spans="1:20">
      <c r="A13" t="s">
        <v>57</v>
      </c>
      <c r="B13" s="6">
        <f>50</f>
        <v>50</v>
      </c>
      <c r="C13" s="6">
        <v>30</v>
      </c>
      <c r="D13" s="6">
        <v>30</v>
      </c>
      <c r="E13" s="6">
        <f>55</f>
        <v>55</v>
      </c>
      <c r="F13" s="6">
        <v>50</v>
      </c>
      <c r="G13" s="6">
        <v>50</v>
      </c>
      <c r="H13" s="6">
        <f>50</f>
        <v>50</v>
      </c>
      <c r="I13" s="6">
        <v>50</v>
      </c>
      <c r="J13" s="6">
        <v>50</v>
      </c>
      <c r="K13" s="6">
        <f>50</f>
        <v>50</v>
      </c>
      <c r="L13" s="6">
        <v>50</v>
      </c>
      <c r="M13" s="6">
        <v>50</v>
      </c>
      <c r="N13" s="6">
        <f>50</f>
        <v>50</v>
      </c>
      <c r="R13" s="7" t="s">
        <v>58</v>
      </c>
      <c r="S13" s="6">
        <f>SUM(B20+T7)</f>
        <v>1825.5</v>
      </c>
    </row>
    <row r="14" spans="1:20">
      <c r="A14" t="s">
        <v>59</v>
      </c>
      <c r="B14" s="6">
        <f>50</f>
        <v>50</v>
      </c>
      <c r="C14" s="6">
        <f>116</f>
        <v>116</v>
      </c>
      <c r="D14" s="6">
        <f>150</f>
        <v>150</v>
      </c>
      <c r="E14" s="6">
        <f>65</f>
        <v>65</v>
      </c>
      <c r="F14" s="6">
        <f>100</f>
        <v>100</v>
      </c>
      <c r="G14" s="6">
        <f>100</f>
        <v>100</v>
      </c>
      <c r="H14" s="6">
        <f>100</f>
        <v>100</v>
      </c>
      <c r="I14" s="6">
        <f>100</f>
        <v>100</v>
      </c>
      <c r="J14" s="6">
        <f>100</f>
        <v>100</v>
      </c>
      <c r="K14" s="6">
        <f>100</f>
        <v>100</v>
      </c>
      <c r="L14" s="6">
        <f>100</f>
        <v>100</v>
      </c>
      <c r="M14" s="6">
        <f>100</f>
        <v>100</v>
      </c>
      <c r="N14" s="6">
        <f>100</f>
        <v>100</v>
      </c>
      <c r="R14" s="6"/>
      <c r="S14" s="6"/>
    </row>
    <row r="15" spans="1:20">
      <c r="A15" t="s">
        <v>60</v>
      </c>
      <c r="B15" s="6">
        <f>150</f>
        <v>150</v>
      </c>
      <c r="C15" s="6">
        <f>173</f>
        <v>173</v>
      </c>
      <c r="D15" s="6">
        <f>100</f>
        <v>100</v>
      </c>
      <c r="E15" s="6">
        <f>65</f>
        <v>65</v>
      </c>
      <c r="F15" s="6">
        <f>50</f>
        <v>50</v>
      </c>
      <c r="G15" s="6">
        <f>100</f>
        <v>100</v>
      </c>
      <c r="H15" s="6">
        <f>100</f>
        <v>100</v>
      </c>
      <c r="I15" s="6">
        <f>100</f>
        <v>100</v>
      </c>
      <c r="J15" s="6">
        <f>100</f>
        <v>100</v>
      </c>
      <c r="K15" s="6">
        <f>100</f>
        <v>100</v>
      </c>
      <c r="L15" s="6">
        <f>100</f>
        <v>100</v>
      </c>
      <c r="M15" s="6">
        <f>100</f>
        <v>100</v>
      </c>
      <c r="N15" s="6">
        <f>100</f>
        <v>100</v>
      </c>
      <c r="R15" s="7" t="s">
        <v>61</v>
      </c>
      <c r="S15" s="6">
        <f>MIN(S12-S13)</f>
        <v>374.5</v>
      </c>
    </row>
    <row r="16" spans="1:20">
      <c r="A16" t="s">
        <v>62</v>
      </c>
      <c r="B16" s="6">
        <v>138</v>
      </c>
      <c r="C16" s="6">
        <v>50</v>
      </c>
      <c r="D16" s="6">
        <v>30</v>
      </c>
      <c r="E16" s="6">
        <f>50</f>
        <v>50</v>
      </c>
      <c r="F16" s="6">
        <f>70</f>
        <v>70</v>
      </c>
      <c r="G16" s="6">
        <f>70</f>
        <v>70</v>
      </c>
      <c r="H16" s="6">
        <f>70</f>
        <v>70</v>
      </c>
      <c r="I16" s="6">
        <f>70</f>
        <v>70</v>
      </c>
      <c r="J16" s="6">
        <f>70</f>
        <v>70</v>
      </c>
      <c r="K16" s="6">
        <f>70</f>
        <v>70</v>
      </c>
      <c r="L16" s="6">
        <f>70</f>
        <v>70</v>
      </c>
      <c r="M16" s="6">
        <f>70</f>
        <v>70</v>
      </c>
      <c r="N16" s="6">
        <f>70</f>
        <v>70</v>
      </c>
      <c r="R16" s="6"/>
      <c r="S16" s="6"/>
    </row>
    <row r="17" spans="1:19">
      <c r="A17" t="s">
        <v>63</v>
      </c>
      <c r="B17" s="6">
        <f>60</f>
        <v>60</v>
      </c>
      <c r="C17" s="6">
        <f>230</f>
        <v>230</v>
      </c>
      <c r="D17" s="6">
        <f>135</f>
        <v>135</v>
      </c>
      <c r="E17" s="6">
        <f>50</f>
        <v>50</v>
      </c>
      <c r="F17" s="6">
        <f>85</f>
        <v>85</v>
      </c>
      <c r="G17" s="6">
        <f>50</f>
        <v>50</v>
      </c>
      <c r="H17" s="6">
        <f>50</f>
        <v>50</v>
      </c>
      <c r="I17" s="6">
        <f>50</f>
        <v>50</v>
      </c>
      <c r="J17" s="6">
        <f>50</f>
        <v>50</v>
      </c>
      <c r="K17" s="6">
        <f>50</f>
        <v>50</v>
      </c>
      <c r="L17" s="6">
        <f>50</f>
        <v>50</v>
      </c>
      <c r="M17" s="6">
        <f>50</f>
        <v>50</v>
      </c>
      <c r="N17" s="6">
        <f>50</f>
        <v>50</v>
      </c>
      <c r="R17" s="12" t="s">
        <v>64</v>
      </c>
      <c r="S17" s="6">
        <f>300</f>
        <v>300</v>
      </c>
    </row>
    <row r="18" spans="1:19">
      <c r="A18" t="s">
        <v>65</v>
      </c>
      <c r="B18" s="6">
        <v>100</v>
      </c>
      <c r="C18" s="6">
        <v>50</v>
      </c>
      <c r="D18" s="6">
        <f>100</f>
        <v>100</v>
      </c>
      <c r="E18" s="6">
        <f>40</f>
        <v>40</v>
      </c>
      <c r="F18" s="6">
        <v>50</v>
      </c>
      <c r="G18" s="6">
        <v>50</v>
      </c>
      <c r="H18" s="6">
        <f>50</f>
        <v>50</v>
      </c>
      <c r="I18" s="6">
        <v>30</v>
      </c>
      <c r="J18" s="6">
        <f>50</f>
        <v>50</v>
      </c>
      <c r="K18" s="6">
        <v>30</v>
      </c>
      <c r="L18" s="6">
        <f>50</f>
        <v>50</v>
      </c>
      <c r="M18" s="6">
        <v>30</v>
      </c>
      <c r="N18" s="6">
        <f>50</f>
        <v>50</v>
      </c>
      <c r="R18" s="6"/>
      <c r="S18" s="6"/>
    </row>
    <row r="19" spans="1:19">
      <c r="C19" s="6"/>
      <c r="D19" s="6"/>
      <c r="E19" s="6"/>
      <c r="F19" s="6"/>
      <c r="G19" s="6"/>
      <c r="J19" s="6"/>
      <c r="R19" s="7" t="s">
        <v>66</v>
      </c>
      <c r="S19" s="6">
        <f>74.5</f>
        <v>74.5</v>
      </c>
    </row>
    <row r="20" spans="1:19">
      <c r="A20" s="3" t="s">
        <v>50</v>
      </c>
      <c r="B20" s="7">
        <f>SUM(B4:B18)</f>
        <v>1773</v>
      </c>
      <c r="C20" s="6">
        <f>SUM(C4:C18)</f>
        <v>1685.99</v>
      </c>
      <c r="D20" s="6">
        <f>SUM(D4:D18)</f>
        <v>2625.19</v>
      </c>
      <c r="E20" s="6">
        <f>SUM(E4:E18)</f>
        <v>1477</v>
      </c>
      <c r="F20" s="6">
        <f>SUM(F4:F18)</f>
        <v>1670</v>
      </c>
      <c r="G20" s="6">
        <f>SUM(G4:G18)</f>
        <v>1625</v>
      </c>
      <c r="H20" s="6">
        <f>SUM(H4:H18)</f>
        <v>1475</v>
      </c>
      <c r="I20" s="6">
        <f>SUM(I4:I18)</f>
        <v>1505</v>
      </c>
      <c r="J20" s="6">
        <f>SUM(J4:J18)</f>
        <v>1455</v>
      </c>
      <c r="K20" s="6">
        <f>SUM(K4:K18)</f>
        <v>1455</v>
      </c>
      <c r="L20" s="6">
        <f>SUM(L4:L18)</f>
        <v>1440</v>
      </c>
      <c r="M20" s="6">
        <f>SUM(M4:M18)</f>
        <v>1475</v>
      </c>
      <c r="N20" s="6">
        <f>SUM(N4:N18)</f>
        <v>1625</v>
      </c>
    </row>
  </sheetData>
  <sortState xmlns:xlrd2="http://schemas.microsoft.com/office/spreadsheetml/2017/richdata2" ref="A4:N18">
    <sortCondition descending="1" ref="A4:A1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5474-0304-4F62-9657-C97210556F44}">
  <dimension ref="A1:E41"/>
  <sheetViews>
    <sheetView tabSelected="1" topLeftCell="A32" workbookViewId="0">
      <selection activeCell="F39" sqref="F39"/>
    </sheetView>
  </sheetViews>
  <sheetFormatPr defaultRowHeight="15"/>
  <cols>
    <col min="1" max="1" width="28.5703125" customWidth="1"/>
    <col min="2" max="2" width="19.28515625" customWidth="1"/>
    <col min="4" max="4" width="13.28515625" customWidth="1"/>
    <col min="5" max="5" width="13" customWidth="1"/>
  </cols>
  <sheetData>
    <row r="1" spans="1:5" ht="18.75">
      <c r="A1" s="14" t="s">
        <v>67</v>
      </c>
      <c r="B1" s="14" t="s">
        <v>68</v>
      </c>
    </row>
    <row r="2" spans="1:5">
      <c r="A2" t="s">
        <v>69</v>
      </c>
      <c r="B2" s="6">
        <f>SUM('Budget project'!B20:N20)</f>
        <v>21286.18</v>
      </c>
      <c r="E2" s="4"/>
    </row>
    <row r="3" spans="1:5">
      <c r="A3" t="s">
        <v>70</v>
      </c>
      <c r="B3" s="6">
        <f>AVERAGE('Budget project'!C20:N20)</f>
        <v>1626.0983333333334</v>
      </c>
    </row>
    <row r="4" spans="1:5" ht="29.25">
      <c r="A4" t="s">
        <v>71</v>
      </c>
      <c r="B4" s="13" t="s">
        <v>72</v>
      </c>
    </row>
    <row r="5" spans="1:5">
      <c r="A5" t="s">
        <v>73</v>
      </c>
      <c r="B5" s="13" t="s">
        <v>74</v>
      </c>
    </row>
    <row r="6" spans="1:5">
      <c r="A6" t="s">
        <v>75</v>
      </c>
      <c r="B6" s="13">
        <f>'Budget project'!S12*12</f>
        <v>26400</v>
      </c>
    </row>
    <row r="7" spans="1:5">
      <c r="A7" t="s">
        <v>76</v>
      </c>
      <c r="B7" s="6">
        <f>'Budget project'!S17*12</f>
        <v>3600</v>
      </c>
    </row>
    <row r="10" spans="1:5">
      <c r="A10" s="3"/>
    </row>
    <row r="11" spans="1:5">
      <c r="A11" s="4"/>
    </row>
    <row r="36" spans="1:4" ht="18.75">
      <c r="D36" s="14" t="s">
        <v>77</v>
      </c>
    </row>
    <row r="37" spans="1:4" ht="18.75">
      <c r="A37" s="14"/>
    </row>
    <row r="41" spans="1:4" ht="18.75">
      <c r="D41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2025-07-06T19:48:54Z</dcterms:created>
  <dcterms:modified xsi:type="dcterms:W3CDTF">2026-05-27T19:18:03Z</dcterms:modified>
  <cp:category/>
  <cp:contentStatus/>
</cp:coreProperties>
</file>